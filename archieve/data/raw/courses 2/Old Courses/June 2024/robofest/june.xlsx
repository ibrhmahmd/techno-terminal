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5"/>
  </bookViews>
  <sheets>
    <sheet name="sat 11-2" sheetId="1" r:id="rId1"/>
    <sheet name="fr 11-2" sheetId="2" r:id="rId2"/>
    <sheet name="wed 3-5" sheetId="3" r:id="rId3"/>
    <sheet name="mon 3.5-6.5" sheetId="4" r:id="rId4"/>
    <sheet name="fr 2-5" sheetId="5" r:id="rId5"/>
    <sheet name="th 4-7" sheetId="6" r:id="rId6"/>
    <sheet name="sat 1-4" sheetId="8" r:id="rId7"/>
    <sheet name="fr 5-8" sheetId="9" r:id="rId8"/>
  </sheets>
  <calcPr calcId="152511"/>
</workbook>
</file>

<file path=xl/calcChain.xml><?xml version="1.0" encoding="utf-8"?>
<calcChain xmlns="http://schemas.openxmlformats.org/spreadsheetml/2006/main">
  <c r="L11" i="8" l="1"/>
  <c r="M11" i="8" s="1"/>
  <c r="P10" i="5"/>
  <c r="O10" i="5"/>
</calcChain>
</file>

<file path=xl/sharedStrings.xml><?xml version="1.0" encoding="utf-8"?>
<sst xmlns="http://schemas.openxmlformats.org/spreadsheetml/2006/main" count="443" uniqueCount="105">
  <si>
    <t>name</t>
  </si>
  <si>
    <t>age</t>
  </si>
  <si>
    <t>number</t>
  </si>
  <si>
    <t>course</t>
  </si>
  <si>
    <t>start</t>
  </si>
  <si>
    <t>time</t>
  </si>
  <si>
    <t>teacher</t>
  </si>
  <si>
    <t xml:space="preserve">s1 </t>
  </si>
  <si>
    <t>s2</t>
  </si>
  <si>
    <t>s3</t>
  </si>
  <si>
    <t>s4</t>
  </si>
  <si>
    <t>s5</t>
  </si>
  <si>
    <t>adham desoky.</t>
  </si>
  <si>
    <t>botros</t>
  </si>
  <si>
    <t>eyad desoky</t>
  </si>
  <si>
    <t>eyad ameen</t>
  </si>
  <si>
    <t>ahmed safy</t>
  </si>
  <si>
    <t>mohamed mahmoud ibrahim</t>
  </si>
  <si>
    <t>omar hossam hamissa</t>
  </si>
  <si>
    <t>elyas refaay</t>
  </si>
  <si>
    <t>s1</t>
  </si>
  <si>
    <t>dn</t>
  </si>
  <si>
    <t>ahmed mohamed fouad</t>
  </si>
  <si>
    <t>eyad refaay</t>
  </si>
  <si>
    <t>daren reda</t>
  </si>
  <si>
    <t>elbaraa reda</t>
  </si>
  <si>
    <t>diala elsaid</t>
  </si>
  <si>
    <t>mohamed zain</t>
  </si>
  <si>
    <t>nour eldien mahmoud</t>
  </si>
  <si>
    <t>adam ahmed saad</t>
  </si>
  <si>
    <t>mohamad</t>
  </si>
  <si>
    <t>28/2/2024</t>
  </si>
  <si>
    <t xml:space="preserve">s3 </t>
  </si>
  <si>
    <t>..</t>
  </si>
  <si>
    <t xml:space="preserve">. </t>
  </si>
  <si>
    <t>karma fouad</t>
  </si>
  <si>
    <t>magdy</t>
  </si>
  <si>
    <t>khadega nageeb</t>
  </si>
  <si>
    <t>ahmed refaay</t>
  </si>
  <si>
    <t>leen refaay</t>
  </si>
  <si>
    <t>rokaya ahmed gamal</t>
  </si>
  <si>
    <t>29/2/2024</t>
  </si>
  <si>
    <t>emad mohamad</t>
  </si>
  <si>
    <t>somo</t>
  </si>
  <si>
    <t>mariam</t>
  </si>
  <si>
    <t>baraa rafat</t>
  </si>
  <si>
    <t>mohamad hosam gomaa</t>
  </si>
  <si>
    <t xml:space="preserve">ahmad galal </t>
  </si>
  <si>
    <t xml:space="preserve">adam elbehary </t>
  </si>
  <si>
    <t xml:space="preserve">judy hasan </t>
  </si>
  <si>
    <t>younes refae</t>
  </si>
  <si>
    <t>2 to 5</t>
  </si>
  <si>
    <t>fees</t>
  </si>
  <si>
    <t>adel mohamad adel</t>
  </si>
  <si>
    <t>ahmad esam tawfeq</t>
  </si>
  <si>
    <t>mariam egela</t>
  </si>
  <si>
    <t>ahmad ayman</t>
  </si>
  <si>
    <t>norhan ayman</t>
  </si>
  <si>
    <t>paid</t>
  </si>
  <si>
    <t>medhat ali abdelatif</t>
  </si>
  <si>
    <t>omar mefreh</t>
  </si>
  <si>
    <t>laila elgezawy</t>
  </si>
  <si>
    <t>lana elsaeed</t>
  </si>
  <si>
    <t>logy elsaed</t>
  </si>
  <si>
    <t>yehia abd rabo</t>
  </si>
  <si>
    <t>anas hasan</t>
  </si>
  <si>
    <t>gomana ahmad mefreh</t>
  </si>
  <si>
    <t>mohamad elsodany</t>
  </si>
  <si>
    <t>session date</t>
  </si>
  <si>
    <t>session time</t>
  </si>
  <si>
    <t>fatma mohamed saber</t>
  </si>
  <si>
    <t>tamim amr ghanim</t>
  </si>
  <si>
    <t>-</t>
  </si>
  <si>
    <t>malek mohamad</t>
  </si>
  <si>
    <t>Adam diaa hagag</t>
  </si>
  <si>
    <t xml:space="preserve">adam mohamad </t>
  </si>
  <si>
    <t>Salma Ahmed Mostafa</t>
  </si>
  <si>
    <t>mo</t>
  </si>
  <si>
    <t>sama</t>
  </si>
  <si>
    <t xml:space="preserve">aseel osama </t>
  </si>
  <si>
    <t>mahamed</t>
  </si>
  <si>
    <t>grade</t>
  </si>
  <si>
    <t>mazen sherif abd elhay</t>
  </si>
  <si>
    <t>adham mohamed hemaida</t>
  </si>
  <si>
    <t>malek hossam abd elaziz hassan</t>
  </si>
  <si>
    <t>adam amir eltabakh</t>
  </si>
  <si>
    <t>moaaz assem abdelmonim assy</t>
  </si>
  <si>
    <t>roaa khalid mohamed shehata</t>
  </si>
  <si>
    <t>no</t>
  </si>
  <si>
    <t>farida hany Ahmed El Refaey</t>
  </si>
  <si>
    <t>jana hany Ahmed El Refaey</t>
  </si>
  <si>
    <t>sandy Ahmed Mohamed Shehab Eldeen</t>
  </si>
  <si>
    <t>mariam tarek Abdelaal</t>
  </si>
  <si>
    <t>g2</t>
  </si>
  <si>
    <t>mariam alaa haikal</t>
  </si>
  <si>
    <t>g3</t>
  </si>
  <si>
    <t>g4</t>
  </si>
  <si>
    <t>g1</t>
  </si>
  <si>
    <t>Albaraa hossam abd elaziz hassan</t>
  </si>
  <si>
    <t>g5</t>
  </si>
  <si>
    <t>malek yasser mousa</t>
  </si>
  <si>
    <t>yazid yasser mousa</t>
  </si>
  <si>
    <t>parade</t>
  </si>
  <si>
    <t>spike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</si>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</sst>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5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14" fontId="2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Fill="1" applyBorder="1"/>
    <xf numFmtId="20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20" fontId="0" fillId="0" borderId="1" xfId="0" applyNumberFormat="1" applyBorder="1"/>
    <xf numFmtId="16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1" xfId="0" applyNumberFormat="1" applyBorder="1"/>
    <xf numFmtId="0" fontId="3" fillId="2" borderId="1" xfId="0" applyFont="1" applyFill="1" applyBorder="1"/>
    <xf numFmtId="0" fontId="0" fillId="3" borderId="1" xfId="0" applyFont="1" applyFill="1" applyBorder="1" applyAlignment="1">
      <alignment horizontal="righ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F7" sqref="F7"/>
    </sheetView>
  </sheetViews>
  <sheetFormatPr defaultRowHeight="15" x14ac:dyDescent="0.25"/>
  <cols>
    <col min="1" max="1" width="37.28515625" customWidth="1"/>
    <col min="3" max="3" width="24.28515625" customWidth="1"/>
    <col min="7" max="7" width="15.28515625" customWidth="1"/>
  </cols>
  <sheetData>
    <row r="1" spans="1:13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11</v>
      </c>
      <c r="L1" s="1" t="s">
        <v>7</v>
      </c>
      <c r="M1" s="1" t="s">
        <v>8</v>
      </c>
    </row>
    <row r="2" spans="1:13" ht="18.600000000000001" x14ac:dyDescent="0.45">
      <c r="A2" s="2" t="s">
        <v>12</v>
      </c>
      <c r="B2" s="2"/>
      <c r="C2" s="2">
        <v>1012394782</v>
      </c>
      <c r="D2" s="2"/>
      <c r="E2" s="2">
        <v>950</v>
      </c>
      <c r="F2" s="2">
        <v>450</v>
      </c>
      <c r="G2" s="4">
        <v>45325</v>
      </c>
      <c r="H2" s="3"/>
      <c r="I2" s="3" t="s">
        <v>13</v>
      </c>
      <c r="J2" s="12" t="s">
        <v>21</v>
      </c>
      <c r="K2" s="2" t="s">
        <v>21</v>
      </c>
      <c r="L2" s="20" t="s">
        <v>21</v>
      </c>
      <c r="M2" s="20" t="s">
        <v>21</v>
      </c>
    </row>
    <row r="3" spans="1:13" ht="18.600000000000001" x14ac:dyDescent="0.45">
      <c r="A3" s="2" t="s">
        <v>14</v>
      </c>
      <c r="B3" s="2"/>
      <c r="C3" s="2">
        <v>1012394782</v>
      </c>
      <c r="D3" s="2"/>
      <c r="E3" s="2">
        <v>950</v>
      </c>
      <c r="F3" s="2">
        <v>450</v>
      </c>
      <c r="G3" s="3"/>
      <c r="H3" s="3"/>
      <c r="I3" s="3"/>
      <c r="J3" s="9" t="s">
        <v>21</v>
      </c>
      <c r="K3" s="2" t="s">
        <v>21</v>
      </c>
      <c r="L3" s="20" t="s">
        <v>21</v>
      </c>
      <c r="M3" s="20" t="s">
        <v>21</v>
      </c>
    </row>
    <row r="4" spans="1:13" ht="1.5" hidden="1" customHeight="1" x14ac:dyDescent="0.45">
      <c r="A4" s="2" t="s">
        <v>15</v>
      </c>
      <c r="B4" s="2"/>
      <c r="C4" s="2">
        <v>1094533021</v>
      </c>
      <c r="D4" s="2"/>
      <c r="E4" s="2"/>
      <c r="F4" s="2"/>
      <c r="G4" s="3"/>
      <c r="H4" s="3"/>
      <c r="I4" s="3"/>
      <c r="J4" s="9" t="s">
        <v>21</v>
      </c>
      <c r="K4" s="2"/>
      <c r="L4" s="20" t="s">
        <v>21</v>
      </c>
      <c r="M4" s="20" t="s">
        <v>21</v>
      </c>
    </row>
    <row r="5" spans="1:13" ht="18.600000000000001" x14ac:dyDescent="0.45">
      <c r="A5" s="2" t="s">
        <v>16</v>
      </c>
      <c r="B5" s="2"/>
      <c r="C5" s="2">
        <v>1007147063</v>
      </c>
      <c r="D5" s="2"/>
      <c r="E5" s="2">
        <v>950</v>
      </c>
      <c r="F5" s="2">
        <v>500</v>
      </c>
      <c r="G5" s="3"/>
      <c r="H5" s="3"/>
      <c r="I5" s="3"/>
      <c r="J5" s="9" t="s">
        <v>21</v>
      </c>
      <c r="K5" s="2" t="s">
        <v>88</v>
      </c>
      <c r="L5" s="20" t="s">
        <v>21</v>
      </c>
      <c r="M5" s="20" t="s">
        <v>21</v>
      </c>
    </row>
    <row r="6" spans="1:13" ht="18.600000000000001" x14ac:dyDescent="0.45">
      <c r="A6" s="2" t="s">
        <v>17</v>
      </c>
      <c r="B6" s="2"/>
      <c r="C6" s="2">
        <v>1004304807</v>
      </c>
      <c r="D6" s="2"/>
      <c r="E6" s="2">
        <v>950</v>
      </c>
      <c r="F6" s="2">
        <v>500</v>
      </c>
      <c r="G6" s="3"/>
      <c r="H6" s="3"/>
      <c r="I6" s="3"/>
      <c r="J6" s="9" t="s">
        <v>21</v>
      </c>
      <c r="K6" s="2" t="s">
        <v>21</v>
      </c>
      <c r="L6" s="20" t="s">
        <v>88</v>
      </c>
      <c r="M6" s="20" t="s">
        <v>21</v>
      </c>
    </row>
    <row r="7" spans="1:13" ht="18.600000000000001" x14ac:dyDescent="0.45">
      <c r="A7" s="2" t="s">
        <v>70</v>
      </c>
      <c r="B7" s="2"/>
      <c r="C7" s="2">
        <v>1093000300</v>
      </c>
      <c r="D7" s="2"/>
      <c r="E7" s="2">
        <v>950</v>
      </c>
      <c r="F7" s="2"/>
      <c r="G7" s="2"/>
      <c r="H7" s="2"/>
      <c r="I7" s="2"/>
      <c r="J7" s="9" t="s">
        <v>21</v>
      </c>
      <c r="K7" s="2" t="s">
        <v>21</v>
      </c>
      <c r="L7" s="20" t="s">
        <v>21</v>
      </c>
      <c r="M7" s="20" t="s">
        <v>21</v>
      </c>
    </row>
    <row r="8" spans="1:13" ht="18.600000000000001" x14ac:dyDescent="0.45">
      <c r="A8" s="2" t="s">
        <v>18</v>
      </c>
      <c r="B8" s="2"/>
      <c r="C8" s="2">
        <v>1099544344</v>
      </c>
      <c r="D8" s="2"/>
      <c r="E8" s="2">
        <v>950</v>
      </c>
      <c r="F8" s="2">
        <v>500</v>
      </c>
      <c r="G8" s="2"/>
      <c r="H8" s="2"/>
      <c r="I8" s="2"/>
      <c r="J8" s="9">
        <v>500</v>
      </c>
      <c r="K8" s="2" t="s">
        <v>21</v>
      </c>
      <c r="L8" s="20" t="s">
        <v>21</v>
      </c>
      <c r="M8" s="20" t="s">
        <v>21</v>
      </c>
    </row>
    <row r="9" spans="1:13" ht="18.600000000000001" x14ac:dyDescent="0.45">
      <c r="A9" s="2" t="s">
        <v>19</v>
      </c>
      <c r="B9" s="2"/>
      <c r="C9" s="2">
        <v>1005548892</v>
      </c>
      <c r="D9" s="2"/>
      <c r="E9" s="2">
        <v>950</v>
      </c>
      <c r="F9" s="2">
        <v>450</v>
      </c>
      <c r="G9" s="2"/>
      <c r="H9" s="2"/>
      <c r="I9" s="2"/>
      <c r="J9" s="12" t="s">
        <v>21</v>
      </c>
      <c r="K9" s="2" t="s">
        <v>21</v>
      </c>
      <c r="L9" s="20" t="s">
        <v>21</v>
      </c>
      <c r="M9" s="20" t="s">
        <v>21</v>
      </c>
    </row>
    <row r="10" spans="1:13" ht="14.45" x14ac:dyDescent="0.35">
      <c r="A10" s="23" t="s">
        <v>68</v>
      </c>
      <c r="B10" s="23"/>
      <c r="C10" s="23"/>
      <c r="D10" s="23"/>
      <c r="E10" s="23"/>
      <c r="F10" s="23"/>
      <c r="G10" s="23"/>
      <c r="H10" s="23"/>
      <c r="I10" s="23"/>
      <c r="J10" s="15">
        <v>45444</v>
      </c>
      <c r="K10" s="15">
        <v>45451</v>
      </c>
      <c r="L10" s="15">
        <v>45456</v>
      </c>
      <c r="M10" s="15">
        <v>45465</v>
      </c>
    </row>
    <row r="11" spans="1:13" ht="14.45" x14ac:dyDescent="0.35">
      <c r="A11" s="23" t="s">
        <v>69</v>
      </c>
      <c r="B11" s="23"/>
      <c r="C11" s="23"/>
      <c r="D11" s="23"/>
      <c r="E11" s="23"/>
      <c r="F11" s="23"/>
      <c r="G11" s="23"/>
      <c r="H11" s="23"/>
      <c r="I11" s="23"/>
      <c r="J11" s="14">
        <v>0.45833333333333298</v>
      </c>
      <c r="K11" s="14">
        <v>0.45833333333333298</v>
      </c>
      <c r="L11" s="14">
        <v>0.45833333333333298</v>
      </c>
      <c r="M11" s="14">
        <v>0.45833333333333298</v>
      </c>
    </row>
  </sheetData>
  <mergeCells count="2">
    <mergeCell ref="A10:I10"/>
    <mergeCell ref="A11:I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E12" sqref="E12"/>
    </sheetView>
  </sheetViews>
  <sheetFormatPr defaultRowHeight="15" x14ac:dyDescent="0.25"/>
  <cols>
    <col min="1" max="1" width="38.7109375" customWidth="1"/>
    <col min="3" max="3" width="20" customWidth="1"/>
    <col min="6" max="6" width="16.140625" customWidth="1"/>
    <col min="7" max="7" width="13.85546875" customWidth="1"/>
    <col min="8" max="8" width="12.7109375" customWidth="1"/>
  </cols>
  <sheetData>
    <row r="1" spans="1:12" ht="21" x14ac:dyDescent="0.35">
      <c r="A1" s="5" t="s">
        <v>0</v>
      </c>
      <c r="B1" s="5" t="s">
        <v>81</v>
      </c>
      <c r="C1" s="5" t="s">
        <v>2</v>
      </c>
      <c r="D1" s="5" t="s">
        <v>52</v>
      </c>
      <c r="E1" s="5" t="s">
        <v>58</v>
      </c>
      <c r="F1" s="5" t="s">
        <v>4</v>
      </c>
      <c r="G1" s="5" t="s">
        <v>5</v>
      </c>
      <c r="H1" s="5" t="s">
        <v>6</v>
      </c>
      <c r="I1" s="5" t="s">
        <v>20</v>
      </c>
      <c r="J1" s="5" t="s">
        <v>8</v>
      </c>
      <c r="K1" s="5" t="s">
        <v>9</v>
      </c>
      <c r="L1" s="5" t="s">
        <v>10</v>
      </c>
    </row>
    <row r="2" spans="1:12" ht="18.600000000000001" x14ac:dyDescent="0.35">
      <c r="A2" s="2" t="s">
        <v>22</v>
      </c>
      <c r="B2" s="2"/>
      <c r="C2" s="2">
        <v>1006242560</v>
      </c>
      <c r="D2" s="2">
        <v>950</v>
      </c>
      <c r="E2" s="2">
        <v>450</v>
      </c>
      <c r="F2" s="6">
        <v>45294</v>
      </c>
      <c r="G2" s="8"/>
      <c r="H2" s="7" t="s">
        <v>30</v>
      </c>
      <c r="I2" s="2" t="s">
        <v>21</v>
      </c>
      <c r="J2" s="2" t="s">
        <v>21</v>
      </c>
      <c r="K2" s="2" t="s">
        <v>21</v>
      </c>
      <c r="L2" s="2" t="s">
        <v>21</v>
      </c>
    </row>
    <row r="3" spans="1:12" ht="18.600000000000001" x14ac:dyDescent="0.35">
      <c r="A3" s="2" t="s">
        <v>23</v>
      </c>
      <c r="B3" s="2"/>
      <c r="C3" s="2">
        <v>1005548892</v>
      </c>
      <c r="D3" s="2">
        <v>950</v>
      </c>
      <c r="E3" s="2">
        <v>450</v>
      </c>
      <c r="F3" s="7"/>
      <c r="G3" s="8"/>
      <c r="H3" s="7"/>
      <c r="I3" s="2" t="s">
        <v>21</v>
      </c>
      <c r="J3" s="2" t="s">
        <v>21</v>
      </c>
      <c r="K3" s="2" t="s">
        <v>21</v>
      </c>
      <c r="L3" s="2" t="s">
        <v>21</v>
      </c>
    </row>
    <row r="4" spans="1:12" ht="18.600000000000001" x14ac:dyDescent="0.35">
      <c r="A4" s="2" t="s">
        <v>24</v>
      </c>
      <c r="B4" s="2"/>
      <c r="C4" s="2">
        <v>1010854228</v>
      </c>
      <c r="D4" s="2">
        <v>950</v>
      </c>
      <c r="E4" s="2">
        <v>450</v>
      </c>
      <c r="F4" s="2"/>
      <c r="G4" s="9"/>
      <c r="H4" s="2"/>
      <c r="I4" s="2" t="s">
        <v>21</v>
      </c>
      <c r="J4" s="2" t="s">
        <v>21</v>
      </c>
      <c r="K4" s="2" t="s">
        <v>21</v>
      </c>
      <c r="L4" s="2" t="s">
        <v>21</v>
      </c>
    </row>
    <row r="5" spans="1:12" ht="18.600000000000001" x14ac:dyDescent="0.35">
      <c r="A5" s="2" t="s">
        <v>25</v>
      </c>
      <c r="B5" s="2"/>
      <c r="C5" s="2">
        <v>1010854228</v>
      </c>
      <c r="D5" s="2">
        <v>950</v>
      </c>
      <c r="E5" s="2">
        <v>450</v>
      </c>
      <c r="F5" s="7"/>
      <c r="G5" s="8"/>
      <c r="H5" s="7"/>
      <c r="I5" s="2" t="s">
        <v>21</v>
      </c>
      <c r="J5" s="2" t="s">
        <v>21</v>
      </c>
      <c r="K5" s="2" t="s">
        <v>21</v>
      </c>
      <c r="L5" s="2" t="s">
        <v>21</v>
      </c>
    </row>
    <row r="6" spans="1:12" ht="18.600000000000001" x14ac:dyDescent="0.35">
      <c r="A6" s="2" t="s">
        <v>26</v>
      </c>
      <c r="B6" s="2"/>
      <c r="C6" s="2">
        <v>1007171887</v>
      </c>
      <c r="D6" s="2">
        <v>950</v>
      </c>
      <c r="E6" s="2">
        <v>500</v>
      </c>
      <c r="F6" s="2"/>
      <c r="G6" s="9"/>
      <c r="H6" s="2"/>
      <c r="I6" s="2" t="s">
        <v>88</v>
      </c>
      <c r="J6" s="2">
        <v>500</v>
      </c>
      <c r="K6" s="2" t="s">
        <v>21</v>
      </c>
      <c r="L6" s="2" t="s">
        <v>21</v>
      </c>
    </row>
    <row r="7" spans="1:12" ht="18.600000000000001" x14ac:dyDescent="0.35">
      <c r="A7" s="2" t="s">
        <v>27</v>
      </c>
      <c r="B7" s="2"/>
      <c r="C7" s="2">
        <v>1000789706</v>
      </c>
      <c r="D7" s="2">
        <v>950</v>
      </c>
      <c r="E7" s="2">
        <v>500</v>
      </c>
      <c r="F7" s="2"/>
      <c r="G7" s="9"/>
      <c r="H7" s="2"/>
      <c r="I7" s="2" t="s">
        <v>21</v>
      </c>
      <c r="J7" s="2" t="s">
        <v>21</v>
      </c>
      <c r="K7" s="2" t="s">
        <v>21</v>
      </c>
      <c r="L7" s="2" t="s">
        <v>21</v>
      </c>
    </row>
    <row r="8" spans="1:12" ht="18.600000000000001" x14ac:dyDescent="0.35">
      <c r="A8" s="2" t="s">
        <v>28</v>
      </c>
      <c r="B8" s="2"/>
      <c r="C8" s="2">
        <v>1014392603</v>
      </c>
      <c r="D8" s="2">
        <v>950</v>
      </c>
      <c r="E8" s="2">
        <v>500</v>
      </c>
      <c r="F8" s="2"/>
      <c r="G8" s="9"/>
      <c r="H8" s="2"/>
      <c r="I8" s="2" t="s">
        <v>21</v>
      </c>
      <c r="J8" s="2" t="s">
        <v>88</v>
      </c>
      <c r="K8" s="2" t="s">
        <v>21</v>
      </c>
      <c r="L8" s="2" t="s">
        <v>21</v>
      </c>
    </row>
    <row r="9" spans="1:12" ht="18.600000000000001" x14ac:dyDescent="0.35">
      <c r="A9" s="2" t="s">
        <v>29</v>
      </c>
      <c r="B9" s="2"/>
      <c r="C9" s="2">
        <v>1094166856</v>
      </c>
      <c r="D9" s="2">
        <v>950</v>
      </c>
      <c r="E9" s="2">
        <v>500</v>
      </c>
      <c r="F9" s="2"/>
      <c r="G9" s="9"/>
      <c r="H9" s="2"/>
      <c r="I9" s="2" t="s">
        <v>21</v>
      </c>
      <c r="J9" s="2" t="s">
        <v>21</v>
      </c>
      <c r="K9" s="2" t="s">
        <v>21</v>
      </c>
      <c r="L9" s="2" t="s">
        <v>88</v>
      </c>
    </row>
    <row r="10" spans="1:12" ht="14.45" x14ac:dyDescent="0.35">
      <c r="A10" s="23" t="s">
        <v>68</v>
      </c>
      <c r="B10" s="23"/>
      <c r="C10" s="23"/>
      <c r="D10" s="23"/>
      <c r="E10" s="23"/>
      <c r="F10" s="23"/>
      <c r="G10" s="23"/>
      <c r="H10" s="23"/>
      <c r="I10" s="15">
        <v>45443</v>
      </c>
      <c r="J10" s="15">
        <v>45450</v>
      </c>
      <c r="K10" s="15">
        <v>45457</v>
      </c>
      <c r="L10" s="15">
        <v>45464</v>
      </c>
    </row>
    <row r="11" spans="1:12" ht="14.45" x14ac:dyDescent="0.35">
      <c r="A11" s="23" t="s">
        <v>69</v>
      </c>
      <c r="B11" s="23"/>
      <c r="C11" s="23"/>
      <c r="D11" s="23"/>
      <c r="E11" s="23"/>
      <c r="F11" s="23"/>
      <c r="G11" s="23"/>
      <c r="H11" s="23"/>
      <c r="I11" s="14">
        <v>0.45833333333333331</v>
      </c>
      <c r="J11" s="14">
        <v>0.45833333333333331</v>
      </c>
      <c r="K11" s="14">
        <v>0.45833333333333298</v>
      </c>
      <c r="L11" s="14">
        <v>0.45833333333333298</v>
      </c>
    </row>
    <row r="13" spans="1:12" ht="14.45" x14ac:dyDescent="0.35">
      <c r="A13" t="s">
        <v>33</v>
      </c>
    </row>
    <row r="14" spans="1:12" ht="14.45" x14ac:dyDescent="0.35">
      <c r="A14" t="s">
        <v>34</v>
      </c>
    </row>
  </sheetData>
  <mergeCells count="2">
    <mergeCell ref="A10:H10"/>
    <mergeCell ref="A11:H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L2" sqref="L2:L9"/>
    </sheetView>
  </sheetViews>
  <sheetFormatPr defaultRowHeight="15" x14ac:dyDescent="0.25"/>
  <cols>
    <col min="1" max="1" width="37.28515625" customWidth="1"/>
    <col min="2" max="2" width="20" customWidth="1"/>
    <col min="3" max="4" width="9.42578125" customWidth="1"/>
    <col min="5" max="5" width="12.7109375" customWidth="1"/>
    <col min="6" max="6" width="9.5703125" bestFit="1" customWidth="1"/>
    <col min="7" max="7" width="9.5703125" customWidth="1"/>
    <col min="8" max="8" width="11.28515625" customWidth="1"/>
    <col min="9" max="11" width="9.7109375" customWidth="1"/>
    <col min="12" max="12" width="9.85546875" bestFit="1" customWidth="1"/>
  </cols>
  <sheetData>
    <row r="1" spans="1:12" ht="21" x14ac:dyDescent="0.35">
      <c r="A1" s="5" t="s">
        <v>0</v>
      </c>
      <c r="B1" s="5" t="s">
        <v>2</v>
      </c>
      <c r="C1" s="5" t="s">
        <v>1</v>
      </c>
      <c r="D1" s="5" t="s">
        <v>81</v>
      </c>
      <c r="E1" s="5" t="s">
        <v>4</v>
      </c>
      <c r="F1" s="5" t="s">
        <v>52</v>
      </c>
      <c r="G1" s="5" t="s">
        <v>58</v>
      </c>
      <c r="H1" s="5" t="s">
        <v>6</v>
      </c>
      <c r="I1" s="5" t="s">
        <v>9</v>
      </c>
      <c r="J1" s="5" t="s">
        <v>10</v>
      </c>
      <c r="K1" s="5" t="s">
        <v>11</v>
      </c>
      <c r="L1" s="5" t="s">
        <v>7</v>
      </c>
    </row>
    <row r="2" spans="1:12" ht="18.600000000000001" x14ac:dyDescent="0.35">
      <c r="A2" s="2" t="s">
        <v>87</v>
      </c>
      <c r="B2" s="2">
        <v>1116331203</v>
      </c>
      <c r="C2" s="2">
        <v>8</v>
      </c>
      <c r="D2" s="2" t="s">
        <v>93</v>
      </c>
      <c r="E2" s="6" t="s">
        <v>31</v>
      </c>
      <c r="F2" s="8">
        <v>950</v>
      </c>
      <c r="G2" s="8"/>
      <c r="H2" s="7" t="s">
        <v>13</v>
      </c>
      <c r="I2" s="2" t="s">
        <v>88</v>
      </c>
      <c r="J2" s="2" t="s">
        <v>88</v>
      </c>
      <c r="K2" s="2" t="s">
        <v>88</v>
      </c>
      <c r="L2" s="2" t="s">
        <v>21</v>
      </c>
    </row>
    <row r="3" spans="1:12" ht="18.600000000000001" x14ac:dyDescent="0.35">
      <c r="A3" s="2" t="s">
        <v>85</v>
      </c>
      <c r="B3" s="2">
        <v>1555153737</v>
      </c>
      <c r="C3" s="2">
        <v>8</v>
      </c>
      <c r="D3" s="2" t="s">
        <v>93</v>
      </c>
      <c r="E3" s="7"/>
      <c r="F3" s="7">
        <v>950</v>
      </c>
      <c r="G3" s="7">
        <v>500</v>
      </c>
      <c r="H3" s="7"/>
      <c r="I3" s="2" t="s">
        <v>21</v>
      </c>
      <c r="J3" s="2" t="s">
        <v>21</v>
      </c>
      <c r="K3" s="2" t="s">
        <v>21</v>
      </c>
      <c r="L3" s="2" t="s">
        <v>21</v>
      </c>
    </row>
    <row r="4" spans="1:12" ht="18.600000000000001" x14ac:dyDescent="0.35">
      <c r="A4" s="2" t="s">
        <v>82</v>
      </c>
      <c r="B4" s="2">
        <v>1090232254</v>
      </c>
      <c r="C4" s="2">
        <v>8</v>
      </c>
      <c r="D4" s="2" t="s">
        <v>93</v>
      </c>
      <c r="E4" s="2"/>
      <c r="F4" s="2">
        <v>950</v>
      </c>
      <c r="G4" s="2">
        <v>500</v>
      </c>
      <c r="H4" s="2"/>
      <c r="I4" s="2" t="s">
        <v>21</v>
      </c>
      <c r="J4" s="2" t="s">
        <v>21</v>
      </c>
      <c r="K4" s="2" t="s">
        <v>21</v>
      </c>
      <c r="L4" s="2" t="s">
        <v>21</v>
      </c>
    </row>
    <row r="5" spans="1:12" ht="18.600000000000001" x14ac:dyDescent="0.35">
      <c r="A5" s="2" t="s">
        <v>83</v>
      </c>
      <c r="B5" s="2">
        <v>1095043000</v>
      </c>
      <c r="C5" s="2">
        <v>8</v>
      </c>
      <c r="D5" s="2" t="s">
        <v>93</v>
      </c>
      <c r="E5" s="7"/>
      <c r="F5" s="7">
        <v>950</v>
      </c>
      <c r="G5" s="7">
        <v>500</v>
      </c>
      <c r="H5" s="7"/>
      <c r="I5" s="2" t="s">
        <v>21</v>
      </c>
      <c r="J5" s="2" t="s">
        <v>21</v>
      </c>
      <c r="K5" s="2" t="s">
        <v>21</v>
      </c>
      <c r="L5" s="2" t="s">
        <v>21</v>
      </c>
    </row>
    <row r="6" spans="1:12" ht="18.600000000000001" x14ac:dyDescent="0.35">
      <c r="A6" s="2" t="s">
        <v>84</v>
      </c>
      <c r="B6" s="2">
        <v>1017881945</v>
      </c>
      <c r="C6" s="2">
        <v>8</v>
      </c>
      <c r="D6" s="2" t="s">
        <v>93</v>
      </c>
      <c r="E6" s="2"/>
      <c r="F6" s="2">
        <v>950</v>
      </c>
      <c r="G6" s="2">
        <v>450</v>
      </c>
      <c r="H6" s="2"/>
      <c r="I6" s="2" t="s">
        <v>21</v>
      </c>
      <c r="J6" s="2" t="s">
        <v>21</v>
      </c>
      <c r="K6" s="2" t="s">
        <v>21</v>
      </c>
      <c r="L6" s="2" t="s">
        <v>21</v>
      </c>
    </row>
    <row r="7" spans="1:12" ht="18.600000000000001" x14ac:dyDescent="0.35">
      <c r="A7" s="2" t="s">
        <v>86</v>
      </c>
      <c r="B7" s="2">
        <v>1064450029</v>
      </c>
      <c r="C7" s="2">
        <v>7</v>
      </c>
      <c r="D7" s="2" t="s">
        <v>97</v>
      </c>
      <c r="E7" s="7"/>
      <c r="F7" s="7">
        <v>950</v>
      </c>
      <c r="G7" s="7">
        <v>500</v>
      </c>
      <c r="H7" s="7"/>
      <c r="I7" s="2" t="s">
        <v>21</v>
      </c>
      <c r="J7" s="2" t="s">
        <v>21</v>
      </c>
      <c r="K7" s="2" t="s">
        <v>21</v>
      </c>
      <c r="L7" s="2" t="s">
        <v>21</v>
      </c>
    </row>
    <row r="8" spans="1:12" ht="18.600000000000001" x14ac:dyDescent="0.35">
      <c r="A8" s="2" t="s">
        <v>100</v>
      </c>
      <c r="B8" s="2">
        <v>1009304678</v>
      </c>
      <c r="C8" s="2">
        <v>10</v>
      </c>
      <c r="D8" s="2" t="s">
        <v>99</v>
      </c>
      <c r="E8" s="7"/>
      <c r="F8" s="7">
        <v>950</v>
      </c>
      <c r="G8" s="2"/>
      <c r="H8" s="7"/>
      <c r="I8" s="2" t="s">
        <v>21</v>
      </c>
      <c r="J8" s="2" t="s">
        <v>21</v>
      </c>
      <c r="K8" s="2" t="s">
        <v>88</v>
      </c>
      <c r="L8" s="2" t="s">
        <v>21</v>
      </c>
    </row>
    <row r="9" spans="1:12" ht="18.600000000000001" x14ac:dyDescent="0.35">
      <c r="A9" s="2" t="s">
        <v>101</v>
      </c>
      <c r="B9" s="2">
        <v>1009304678</v>
      </c>
      <c r="C9" s="2">
        <v>7</v>
      </c>
      <c r="D9" s="2" t="s">
        <v>97</v>
      </c>
      <c r="E9" s="7"/>
      <c r="F9" s="7">
        <v>950</v>
      </c>
      <c r="G9" s="2"/>
      <c r="H9" s="7"/>
      <c r="I9" s="2" t="s">
        <v>21</v>
      </c>
      <c r="J9" s="2" t="s">
        <v>21</v>
      </c>
      <c r="K9" s="2" t="s">
        <v>21</v>
      </c>
      <c r="L9" s="2" t="s">
        <v>21</v>
      </c>
    </row>
    <row r="10" spans="1:12" ht="18.600000000000001" x14ac:dyDescent="0.35">
      <c r="A10" s="24" t="s">
        <v>68</v>
      </c>
      <c r="B10" s="25"/>
      <c r="C10" s="25"/>
      <c r="D10" s="25"/>
      <c r="E10" s="25"/>
      <c r="F10" s="25"/>
      <c r="G10" s="25"/>
      <c r="H10" s="26"/>
      <c r="I10" s="13">
        <v>45441</v>
      </c>
      <c r="J10" s="13">
        <v>45448</v>
      </c>
      <c r="K10" s="13">
        <v>45455</v>
      </c>
      <c r="L10" s="13">
        <v>45462</v>
      </c>
    </row>
    <row r="11" spans="1:12" ht="18.600000000000001" x14ac:dyDescent="0.35">
      <c r="A11" s="24" t="s">
        <v>69</v>
      </c>
      <c r="B11" s="25"/>
      <c r="C11" s="25"/>
      <c r="D11" s="25"/>
      <c r="E11" s="25"/>
      <c r="F11" s="25"/>
      <c r="G11" s="25"/>
      <c r="H11" s="26"/>
      <c r="I11" s="12">
        <v>0.125</v>
      </c>
      <c r="J11" s="12">
        <v>0.125</v>
      </c>
      <c r="K11" s="12">
        <v>0.125</v>
      </c>
      <c r="L11" s="12">
        <v>0.125</v>
      </c>
    </row>
    <row r="12" spans="1:12" ht="18.600000000000001" x14ac:dyDescent="0.35">
      <c r="A12" s="22" t="s">
        <v>102</v>
      </c>
    </row>
    <row r="13" spans="1:12" ht="18.600000000000001" x14ac:dyDescent="0.35">
      <c r="A13" s="22" t="s">
        <v>103</v>
      </c>
    </row>
    <row r="14" spans="1:12" ht="18.600000000000001" x14ac:dyDescent="0.35">
      <c r="A14" s="22" t="s">
        <v>104</v>
      </c>
    </row>
  </sheetData>
  <mergeCells count="2">
    <mergeCell ref="A10:H10"/>
    <mergeCell ref="A11:H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L4" sqref="L4"/>
    </sheetView>
  </sheetViews>
  <sheetFormatPr defaultRowHeight="15" x14ac:dyDescent="0.25"/>
  <cols>
    <col min="1" max="1" width="45" customWidth="1"/>
    <col min="4" max="4" width="17.85546875" customWidth="1"/>
    <col min="6" max="6" width="15.5703125" customWidth="1"/>
    <col min="7" max="7" width="10.140625" customWidth="1"/>
    <col min="10" max="10" width="10.7109375" customWidth="1"/>
    <col min="11" max="11" width="12.7109375" customWidth="1"/>
  </cols>
  <sheetData>
    <row r="1" spans="1:13" ht="21" x14ac:dyDescent="0.35">
      <c r="A1" s="5" t="s">
        <v>0</v>
      </c>
      <c r="B1" s="5" t="s">
        <v>1</v>
      </c>
      <c r="C1" s="5" t="s">
        <v>81</v>
      </c>
      <c r="D1" s="5" t="s">
        <v>2</v>
      </c>
      <c r="E1" s="5" t="s">
        <v>3</v>
      </c>
      <c r="F1" s="5" t="s">
        <v>4</v>
      </c>
      <c r="G1" s="5" t="s">
        <v>52</v>
      </c>
      <c r="H1" s="5" t="s">
        <v>58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</row>
    <row r="2" spans="1:13" ht="18.600000000000001" x14ac:dyDescent="0.35">
      <c r="A2" s="2" t="s">
        <v>90</v>
      </c>
      <c r="B2" s="2">
        <v>7</v>
      </c>
      <c r="C2" s="2" t="s">
        <v>97</v>
      </c>
      <c r="D2" s="2">
        <v>1010434042</v>
      </c>
      <c r="E2" s="2"/>
      <c r="F2" s="6">
        <v>45385</v>
      </c>
      <c r="G2" s="8">
        <v>950</v>
      </c>
      <c r="H2" s="7">
        <v>450</v>
      </c>
      <c r="I2" s="7" t="s">
        <v>44</v>
      </c>
      <c r="J2" s="9" t="s">
        <v>21</v>
      </c>
      <c r="K2" s="9" t="s">
        <v>21</v>
      </c>
      <c r="L2" s="9" t="s">
        <v>21</v>
      </c>
      <c r="M2" s="9" t="s">
        <v>21</v>
      </c>
    </row>
    <row r="3" spans="1:13" ht="18.600000000000001" x14ac:dyDescent="0.35">
      <c r="A3" s="2" t="s">
        <v>89</v>
      </c>
      <c r="B3" s="2">
        <v>9</v>
      </c>
      <c r="C3" s="2" t="s">
        <v>95</v>
      </c>
      <c r="D3" s="2">
        <v>1010434042</v>
      </c>
      <c r="E3" s="2"/>
      <c r="F3" s="7"/>
      <c r="G3" s="7">
        <v>950</v>
      </c>
      <c r="H3" s="7">
        <v>450</v>
      </c>
      <c r="I3" s="7"/>
      <c r="J3" s="9" t="s">
        <v>21</v>
      </c>
      <c r="K3" s="9" t="s">
        <v>21</v>
      </c>
      <c r="L3" s="9" t="s">
        <v>21</v>
      </c>
      <c r="M3" s="9" t="s">
        <v>21</v>
      </c>
    </row>
    <row r="4" spans="1:13" ht="18.600000000000001" customHeight="1" x14ac:dyDescent="0.35">
      <c r="A4" s="2" t="s">
        <v>91</v>
      </c>
      <c r="B4" s="2">
        <v>10</v>
      </c>
      <c r="C4" s="2" t="s">
        <v>96</v>
      </c>
      <c r="D4" s="2">
        <v>1111698899</v>
      </c>
      <c r="E4" s="2"/>
      <c r="F4" s="2"/>
      <c r="G4" s="2">
        <v>950</v>
      </c>
      <c r="H4" s="7">
        <v>250</v>
      </c>
      <c r="I4" s="2"/>
      <c r="J4" s="9" t="s">
        <v>21</v>
      </c>
      <c r="K4" s="12" t="s">
        <v>88</v>
      </c>
      <c r="L4" s="12" t="s">
        <v>88</v>
      </c>
      <c r="M4" s="9" t="s">
        <v>21</v>
      </c>
    </row>
    <row r="5" spans="1:13" ht="18.600000000000001" x14ac:dyDescent="0.35">
      <c r="A5" s="2" t="s">
        <v>94</v>
      </c>
      <c r="B5" s="2">
        <v>8</v>
      </c>
      <c r="C5" s="2" t="s">
        <v>95</v>
      </c>
      <c r="D5" s="2">
        <v>1062315151</v>
      </c>
      <c r="E5" s="2"/>
      <c r="F5" s="7"/>
      <c r="G5" s="7">
        <v>950</v>
      </c>
      <c r="H5" s="7">
        <v>500</v>
      </c>
      <c r="I5" s="7"/>
      <c r="J5" s="9" t="s">
        <v>21</v>
      </c>
      <c r="K5" s="12" t="s">
        <v>21</v>
      </c>
      <c r="L5" s="9" t="s">
        <v>21</v>
      </c>
      <c r="M5" s="9" t="s">
        <v>21</v>
      </c>
    </row>
    <row r="6" spans="1:13" ht="18.600000000000001" x14ac:dyDescent="0.45">
      <c r="A6" s="2" t="s">
        <v>92</v>
      </c>
      <c r="B6" s="16">
        <v>8</v>
      </c>
      <c r="C6" s="16" t="s">
        <v>93</v>
      </c>
      <c r="D6" s="2">
        <v>1069269417</v>
      </c>
      <c r="E6" s="3"/>
      <c r="F6" s="3"/>
      <c r="G6" s="7">
        <v>950</v>
      </c>
      <c r="H6" s="7">
        <v>500</v>
      </c>
      <c r="I6" s="3"/>
      <c r="J6" s="9" t="s">
        <v>21</v>
      </c>
      <c r="K6" s="12" t="s">
        <v>88</v>
      </c>
      <c r="L6" s="9" t="s">
        <v>21</v>
      </c>
      <c r="M6" s="9" t="s">
        <v>21</v>
      </c>
    </row>
    <row r="7" spans="1:13" ht="18.600000000000001" x14ac:dyDescent="0.35">
      <c r="A7" s="2" t="s">
        <v>71</v>
      </c>
      <c r="B7" s="21">
        <v>8</v>
      </c>
      <c r="C7" s="21" t="s">
        <v>93</v>
      </c>
      <c r="D7" s="2">
        <v>1008686101</v>
      </c>
      <c r="E7" s="3"/>
      <c r="F7" s="3"/>
      <c r="G7" s="7">
        <v>950</v>
      </c>
      <c r="H7" s="7">
        <v>500</v>
      </c>
      <c r="I7" s="3"/>
      <c r="J7" s="9" t="s">
        <v>21</v>
      </c>
      <c r="K7" s="9">
        <v>450</v>
      </c>
      <c r="L7" s="9" t="s">
        <v>21</v>
      </c>
      <c r="M7" s="9" t="s">
        <v>21</v>
      </c>
    </row>
    <row r="8" spans="1:13" ht="18.600000000000001" x14ac:dyDescent="0.35">
      <c r="A8" s="27" t="s">
        <v>68</v>
      </c>
      <c r="B8" s="28"/>
      <c r="C8" s="28"/>
      <c r="D8" s="28"/>
      <c r="E8" s="28"/>
      <c r="F8" s="28"/>
      <c r="G8" s="28"/>
      <c r="H8" s="28"/>
      <c r="I8" s="29"/>
      <c r="J8" s="13">
        <v>45439</v>
      </c>
      <c r="K8" s="13">
        <v>45446</v>
      </c>
      <c r="L8" s="13">
        <v>45453</v>
      </c>
      <c r="M8" s="13">
        <v>45467</v>
      </c>
    </row>
    <row r="9" spans="1:13" ht="18.600000000000001" x14ac:dyDescent="0.35">
      <c r="A9" s="27" t="s">
        <v>69</v>
      </c>
      <c r="B9" s="28"/>
      <c r="C9" s="28"/>
      <c r="D9" s="28"/>
      <c r="E9" s="28"/>
      <c r="F9" s="28"/>
      <c r="G9" s="28"/>
      <c r="H9" s="28"/>
      <c r="I9" s="29"/>
      <c r="J9" s="12">
        <v>0.14583333333333301</v>
      </c>
      <c r="K9" s="12">
        <v>0.14583333333333301</v>
      </c>
      <c r="L9" s="12">
        <v>0.14583333333333334</v>
      </c>
      <c r="M9" s="12">
        <v>0.14583333333333401</v>
      </c>
    </row>
  </sheetData>
  <mergeCells count="2">
    <mergeCell ref="A8:I8"/>
    <mergeCell ref="A9:I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I4" sqref="I4"/>
    </sheetView>
  </sheetViews>
  <sheetFormatPr defaultRowHeight="15" x14ac:dyDescent="0.25"/>
  <cols>
    <col min="1" max="1" width="32.7109375" customWidth="1"/>
    <col min="2" max="2" width="22.42578125" customWidth="1"/>
    <col min="3" max="4" width="9.140625" customWidth="1"/>
    <col min="10" max="10" width="12.28515625" customWidth="1"/>
  </cols>
  <sheetData>
    <row r="1" spans="1:16" ht="21" x14ac:dyDescent="0.35">
      <c r="A1" s="5" t="s">
        <v>0</v>
      </c>
      <c r="B1" s="5" t="s">
        <v>2</v>
      </c>
      <c r="C1" s="5" t="s">
        <v>1</v>
      </c>
      <c r="D1" s="5" t="s">
        <v>81</v>
      </c>
      <c r="E1" s="5" t="s">
        <v>3</v>
      </c>
      <c r="F1" s="5" t="s">
        <v>4</v>
      </c>
      <c r="G1" s="5" t="s">
        <v>5</v>
      </c>
      <c r="H1" s="5" t="s">
        <v>52</v>
      </c>
      <c r="I1" s="5" t="s">
        <v>58</v>
      </c>
      <c r="J1" s="5" t="s">
        <v>6</v>
      </c>
      <c r="K1" s="5" t="s">
        <v>32</v>
      </c>
      <c r="L1" s="5" t="s">
        <v>10</v>
      </c>
      <c r="M1" s="5" t="s">
        <v>11</v>
      </c>
      <c r="N1" s="5" t="s">
        <v>7</v>
      </c>
    </row>
    <row r="2" spans="1:16" ht="14.45" x14ac:dyDescent="0.35">
      <c r="A2" s="3" t="s">
        <v>45</v>
      </c>
      <c r="B2" s="3">
        <v>1011776263</v>
      </c>
      <c r="C2" s="3"/>
      <c r="D2" s="3"/>
      <c r="E2" s="3"/>
      <c r="F2" s="10">
        <v>45294</v>
      </c>
      <c r="G2" s="3" t="s">
        <v>51</v>
      </c>
      <c r="H2" s="3">
        <v>950</v>
      </c>
      <c r="I2" s="3"/>
      <c r="J2" s="3" t="s">
        <v>36</v>
      </c>
      <c r="K2" s="3" t="s">
        <v>21</v>
      </c>
      <c r="L2" s="3" t="s">
        <v>88</v>
      </c>
      <c r="M2" s="3" t="s">
        <v>88</v>
      </c>
      <c r="N2" s="3" t="s">
        <v>88</v>
      </c>
    </row>
    <row r="3" spans="1:16" ht="14.45" x14ac:dyDescent="0.35">
      <c r="A3" s="3" t="s">
        <v>46</v>
      </c>
      <c r="B3" s="3">
        <v>1029559401</v>
      </c>
      <c r="C3" s="3"/>
      <c r="D3" s="3"/>
      <c r="E3" s="3"/>
      <c r="F3" s="3"/>
      <c r="G3" s="3"/>
      <c r="H3" s="3">
        <v>950</v>
      </c>
      <c r="I3" s="3">
        <v>250</v>
      </c>
      <c r="J3" s="3"/>
      <c r="K3" s="3" t="s">
        <v>88</v>
      </c>
      <c r="L3" s="3" t="s">
        <v>88</v>
      </c>
      <c r="M3" s="3" t="s">
        <v>21</v>
      </c>
      <c r="N3" s="3" t="s">
        <v>21</v>
      </c>
      <c r="O3" s="3">
        <v>500</v>
      </c>
    </row>
    <row r="4" spans="1:16" ht="14.45" x14ac:dyDescent="0.35">
      <c r="A4" s="3" t="s">
        <v>66</v>
      </c>
      <c r="B4" s="3">
        <v>1028662871</v>
      </c>
      <c r="C4" s="3"/>
      <c r="D4" s="3"/>
      <c r="E4" s="3"/>
      <c r="F4" s="3"/>
      <c r="G4" s="3"/>
      <c r="H4" s="3">
        <v>950</v>
      </c>
      <c r="I4" s="3">
        <v>500</v>
      </c>
      <c r="J4" s="3"/>
      <c r="K4" s="3" t="s">
        <v>21</v>
      </c>
      <c r="L4" s="3" t="s">
        <v>88</v>
      </c>
      <c r="M4" s="3" t="s">
        <v>21</v>
      </c>
      <c r="N4" s="3" t="s">
        <v>21</v>
      </c>
      <c r="O4" s="3">
        <v>500</v>
      </c>
    </row>
    <row r="5" spans="1:16" ht="14.45" x14ac:dyDescent="0.35">
      <c r="A5" s="3" t="s">
        <v>47</v>
      </c>
      <c r="B5" s="3">
        <v>1097537787</v>
      </c>
      <c r="C5" s="3"/>
      <c r="D5" s="3"/>
      <c r="E5" s="3"/>
      <c r="F5" s="3"/>
      <c r="G5" s="3"/>
      <c r="H5" s="3">
        <v>950</v>
      </c>
      <c r="I5" s="3">
        <v>500</v>
      </c>
      <c r="J5" s="3"/>
      <c r="K5" s="3" t="s">
        <v>21</v>
      </c>
      <c r="L5" s="3" t="s">
        <v>21</v>
      </c>
      <c r="M5" s="3" t="s">
        <v>21</v>
      </c>
      <c r="N5" s="3" t="s">
        <v>21</v>
      </c>
      <c r="O5" s="3">
        <v>500</v>
      </c>
    </row>
    <row r="6" spans="1:16" ht="14.45" x14ac:dyDescent="0.35">
      <c r="A6" s="3" t="s">
        <v>48</v>
      </c>
      <c r="B6" s="3">
        <v>1097048335</v>
      </c>
      <c r="C6" s="3"/>
      <c r="D6" s="3"/>
      <c r="E6" s="3"/>
      <c r="F6" s="3"/>
      <c r="G6" s="3"/>
      <c r="H6" s="3">
        <v>950</v>
      </c>
      <c r="I6" s="3">
        <v>500</v>
      </c>
      <c r="J6" s="3"/>
      <c r="K6" s="3" t="s">
        <v>21</v>
      </c>
      <c r="L6" s="3" t="s">
        <v>21</v>
      </c>
      <c r="M6" s="3" t="s">
        <v>88</v>
      </c>
      <c r="N6" s="3" t="s">
        <v>21</v>
      </c>
      <c r="O6" s="3">
        <v>500</v>
      </c>
    </row>
    <row r="7" spans="1:16" ht="14.45" x14ac:dyDescent="0.35">
      <c r="A7" s="3" t="s">
        <v>49</v>
      </c>
      <c r="B7" s="3">
        <v>1015205270</v>
      </c>
      <c r="C7" s="3"/>
      <c r="D7" s="3"/>
      <c r="E7" s="3"/>
      <c r="F7" s="3"/>
      <c r="G7" s="3"/>
      <c r="H7" s="3">
        <v>900</v>
      </c>
      <c r="I7" s="3">
        <v>450</v>
      </c>
      <c r="J7" s="3"/>
      <c r="K7" s="3" t="s">
        <v>21</v>
      </c>
      <c r="L7" s="3" t="s">
        <v>21</v>
      </c>
      <c r="M7" s="3" t="s">
        <v>21</v>
      </c>
      <c r="N7" s="3" t="s">
        <v>21</v>
      </c>
      <c r="O7" s="3">
        <v>450</v>
      </c>
    </row>
    <row r="8" spans="1:16" ht="14.45" x14ac:dyDescent="0.35">
      <c r="A8" s="3" t="s">
        <v>98</v>
      </c>
      <c r="B8" s="19">
        <v>1017881945</v>
      </c>
      <c r="C8" s="19">
        <v>10</v>
      </c>
      <c r="D8" s="19" t="s">
        <v>99</v>
      </c>
      <c r="E8" s="3"/>
      <c r="F8" s="3"/>
      <c r="G8" s="3"/>
      <c r="H8" s="3">
        <v>950</v>
      </c>
      <c r="I8" s="3">
        <v>450</v>
      </c>
      <c r="J8" s="3"/>
      <c r="K8" s="3" t="s">
        <v>21</v>
      </c>
      <c r="L8" s="3" t="s">
        <v>21</v>
      </c>
      <c r="M8" s="3" t="s">
        <v>21</v>
      </c>
      <c r="N8" s="3" t="s">
        <v>21</v>
      </c>
      <c r="O8" s="3">
        <v>450</v>
      </c>
    </row>
    <row r="9" spans="1:16" ht="14.45" x14ac:dyDescent="0.35">
      <c r="A9" s="3" t="s">
        <v>50</v>
      </c>
      <c r="B9" s="3">
        <v>1008691334</v>
      </c>
      <c r="C9" s="3"/>
      <c r="D9" s="3"/>
      <c r="E9" s="3"/>
      <c r="F9" s="3"/>
      <c r="G9" s="3"/>
      <c r="H9" s="3">
        <v>950</v>
      </c>
      <c r="I9" s="3">
        <v>500</v>
      </c>
      <c r="J9" s="3"/>
      <c r="K9" s="3" t="s">
        <v>88</v>
      </c>
      <c r="L9" s="3" t="s">
        <v>21</v>
      </c>
      <c r="M9" s="3" t="s">
        <v>21</v>
      </c>
      <c r="N9" s="3" t="s">
        <v>21</v>
      </c>
      <c r="O9" s="3">
        <v>500</v>
      </c>
    </row>
    <row r="10" spans="1:16" ht="14.45" x14ac:dyDescent="0.35">
      <c r="A10" s="23" t="s">
        <v>68</v>
      </c>
      <c r="B10" s="23"/>
      <c r="C10" s="23"/>
      <c r="D10" s="23"/>
      <c r="E10" s="23"/>
      <c r="F10" s="23"/>
      <c r="G10" s="23"/>
      <c r="H10" s="23"/>
      <c r="I10" s="23"/>
      <c r="J10" s="23"/>
      <c r="K10" s="15">
        <v>45443</v>
      </c>
      <c r="L10" s="15">
        <v>45450</v>
      </c>
      <c r="M10" s="15">
        <v>45457</v>
      </c>
      <c r="N10" s="15">
        <v>45464</v>
      </c>
      <c r="O10">
        <f>SUM(O3:O9)</f>
        <v>3400</v>
      </c>
      <c r="P10">
        <f>O10*25%</f>
        <v>850</v>
      </c>
    </row>
    <row r="11" spans="1:16" ht="14.45" x14ac:dyDescent="0.35">
      <c r="A11" s="23" t="s">
        <v>69</v>
      </c>
      <c r="B11" s="23"/>
      <c r="C11" s="23"/>
      <c r="D11" s="23"/>
      <c r="E11" s="23"/>
      <c r="F11" s="23"/>
      <c r="G11" s="23"/>
      <c r="H11" s="23"/>
      <c r="I11" s="23"/>
      <c r="J11" s="23"/>
      <c r="K11" s="14">
        <v>8.3333333333333301E-2</v>
      </c>
      <c r="L11" s="14">
        <v>8.3333333333333301E-2</v>
      </c>
      <c r="M11" s="14">
        <v>8.3333333333333301E-2</v>
      </c>
      <c r="N11" s="14">
        <v>8.3333333333333329E-2</v>
      </c>
    </row>
  </sheetData>
  <mergeCells count="2">
    <mergeCell ref="A10:J10"/>
    <mergeCell ref="A11:J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F12" sqref="F12"/>
    </sheetView>
  </sheetViews>
  <sheetFormatPr defaultRowHeight="15" x14ac:dyDescent="0.25"/>
  <cols>
    <col min="1" max="1" width="24.28515625" customWidth="1"/>
    <col min="2" max="2" width="12" customWidth="1"/>
    <col min="3" max="3" width="20" customWidth="1"/>
    <col min="5" max="5" width="9.140625" customWidth="1"/>
    <col min="8" max="8" width="12" customWidth="1"/>
  </cols>
  <sheetData>
    <row r="1" spans="1:14" x14ac:dyDescent="0.35">
      <c r="A1" s="3" t="s">
        <v>0</v>
      </c>
      <c r="B1" s="3" t="s">
        <v>81</v>
      </c>
      <c r="C1" s="3" t="s">
        <v>2</v>
      </c>
      <c r="D1" s="3" t="s">
        <v>3</v>
      </c>
      <c r="E1" s="3" t="s">
        <v>4</v>
      </c>
      <c r="F1" s="3" t="s">
        <v>52</v>
      </c>
      <c r="G1" s="3" t="s">
        <v>58</v>
      </c>
      <c r="H1" s="3" t="s">
        <v>6</v>
      </c>
      <c r="I1" s="3" t="s">
        <v>20</v>
      </c>
      <c r="J1" s="3" t="s">
        <v>8</v>
      </c>
      <c r="K1" s="3" t="s">
        <v>9</v>
      </c>
      <c r="L1" s="3" t="s">
        <v>10</v>
      </c>
    </row>
    <row r="2" spans="1:14" x14ac:dyDescent="0.35">
      <c r="A2" s="3" t="s">
        <v>35</v>
      </c>
      <c r="B2" s="3"/>
      <c r="C2" s="3">
        <v>1006242560</v>
      </c>
      <c r="D2" s="3" t="s">
        <v>43</v>
      </c>
      <c r="E2" s="3" t="s">
        <v>41</v>
      </c>
      <c r="F2" s="3">
        <v>950</v>
      </c>
      <c r="G2" s="3">
        <v>450</v>
      </c>
      <c r="H2" s="3" t="s">
        <v>80</v>
      </c>
      <c r="I2" s="3" t="s">
        <v>21</v>
      </c>
      <c r="J2" s="3" t="s">
        <v>21</v>
      </c>
      <c r="K2" s="3" t="s">
        <v>21</v>
      </c>
      <c r="L2" s="3" t="s">
        <v>21</v>
      </c>
    </row>
    <row r="3" spans="1:14" x14ac:dyDescent="0.35">
      <c r="A3" s="3" t="s">
        <v>37</v>
      </c>
      <c r="B3" s="3"/>
      <c r="C3" s="3">
        <v>1008103322</v>
      </c>
      <c r="D3" s="3"/>
      <c r="E3" s="3"/>
      <c r="F3" s="3">
        <v>950</v>
      </c>
      <c r="G3" s="3">
        <v>500</v>
      </c>
      <c r="H3" s="3"/>
      <c r="I3" s="3" t="s">
        <v>88</v>
      </c>
      <c r="J3" s="3" t="s">
        <v>21</v>
      </c>
      <c r="K3" s="3" t="s">
        <v>21</v>
      </c>
      <c r="L3" s="3" t="s">
        <v>21</v>
      </c>
    </row>
    <row r="4" spans="1:14" x14ac:dyDescent="0.35">
      <c r="A4" s="3" t="s">
        <v>38</v>
      </c>
      <c r="B4" s="3"/>
      <c r="C4" s="3">
        <v>1007643263</v>
      </c>
      <c r="D4" s="3"/>
      <c r="E4" s="3"/>
      <c r="F4" s="3">
        <v>900</v>
      </c>
      <c r="G4" s="3">
        <v>450</v>
      </c>
      <c r="H4" s="3"/>
      <c r="I4" s="3" t="s">
        <v>21</v>
      </c>
      <c r="J4" s="3" t="s">
        <v>21</v>
      </c>
      <c r="K4" s="3" t="s">
        <v>21</v>
      </c>
      <c r="L4" s="3" t="s">
        <v>21</v>
      </c>
    </row>
    <row r="5" spans="1:14" x14ac:dyDescent="0.35">
      <c r="A5" s="3" t="s">
        <v>39</v>
      </c>
      <c r="B5" s="3"/>
      <c r="C5" s="3">
        <v>1007643263</v>
      </c>
      <c r="D5" s="3"/>
      <c r="E5" s="3"/>
      <c r="F5" s="3">
        <v>900</v>
      </c>
      <c r="G5" s="3">
        <v>450</v>
      </c>
      <c r="H5" s="3"/>
      <c r="I5" s="3" t="s">
        <v>21</v>
      </c>
      <c r="J5" s="3" t="s">
        <v>21</v>
      </c>
      <c r="K5" s="3" t="s">
        <v>21</v>
      </c>
      <c r="L5" s="3" t="s">
        <v>21</v>
      </c>
    </row>
    <row r="6" spans="1:14" x14ac:dyDescent="0.35">
      <c r="A6" s="3" t="s">
        <v>40</v>
      </c>
      <c r="B6" s="3"/>
      <c r="C6" s="3">
        <v>1020631030</v>
      </c>
      <c r="D6" s="3"/>
      <c r="E6" s="3"/>
      <c r="F6" s="3">
        <v>950</v>
      </c>
      <c r="G6" s="3">
        <v>500</v>
      </c>
      <c r="H6" s="3"/>
      <c r="I6" s="3" t="s">
        <v>21</v>
      </c>
      <c r="J6" s="3" t="s">
        <v>21</v>
      </c>
      <c r="K6" s="3" t="s">
        <v>21</v>
      </c>
      <c r="L6" s="3" t="s">
        <v>21</v>
      </c>
    </row>
    <row r="7" spans="1:14" x14ac:dyDescent="0.35">
      <c r="A7" s="3" t="s">
        <v>42</v>
      </c>
      <c r="B7" s="3"/>
      <c r="C7" s="3">
        <v>1000247181</v>
      </c>
      <c r="D7" s="3"/>
      <c r="E7" s="3"/>
      <c r="F7" s="3">
        <v>950</v>
      </c>
      <c r="G7" s="3">
        <v>450</v>
      </c>
      <c r="H7" s="3"/>
      <c r="I7" s="3" t="s">
        <v>21</v>
      </c>
      <c r="J7" s="3" t="s">
        <v>21</v>
      </c>
      <c r="K7" s="3" t="s">
        <v>21</v>
      </c>
      <c r="L7" s="3" t="s">
        <v>21</v>
      </c>
      <c r="N7" t="s">
        <v>72</v>
      </c>
    </row>
    <row r="8" spans="1:14" x14ac:dyDescent="0.35">
      <c r="A8" s="3" t="s">
        <v>59</v>
      </c>
      <c r="B8" s="3"/>
      <c r="C8" s="3">
        <v>1026777750</v>
      </c>
      <c r="D8" s="3"/>
      <c r="E8" s="3"/>
      <c r="F8" s="3">
        <v>950</v>
      </c>
      <c r="G8" s="3">
        <v>500</v>
      </c>
      <c r="H8" s="3"/>
      <c r="I8" s="3" t="s">
        <v>21</v>
      </c>
      <c r="J8" s="3" t="s">
        <v>88</v>
      </c>
      <c r="K8" s="3" t="s">
        <v>21</v>
      </c>
      <c r="L8" s="3" t="s">
        <v>21</v>
      </c>
    </row>
    <row r="9" spans="1:14" x14ac:dyDescent="0.35">
      <c r="A9" s="3" t="s">
        <v>45</v>
      </c>
      <c r="B9" s="3"/>
      <c r="C9" s="3"/>
      <c r="D9" s="3"/>
      <c r="E9" s="3"/>
      <c r="F9" s="3">
        <v>950</v>
      </c>
      <c r="G9" s="3"/>
      <c r="H9" s="3"/>
      <c r="I9" s="3" t="s">
        <v>21</v>
      </c>
      <c r="J9" s="3" t="s">
        <v>88</v>
      </c>
      <c r="K9" s="3" t="s">
        <v>88</v>
      </c>
      <c r="L9" s="3" t="s">
        <v>88</v>
      </c>
    </row>
    <row r="10" spans="1:14" x14ac:dyDescent="0.35">
      <c r="A10" s="23" t="s">
        <v>68</v>
      </c>
      <c r="B10" s="23"/>
      <c r="C10" s="23"/>
      <c r="D10" s="23"/>
      <c r="E10" s="23"/>
      <c r="F10" s="23"/>
      <c r="G10" s="23"/>
      <c r="H10" s="23"/>
      <c r="I10" s="15">
        <v>45442</v>
      </c>
      <c r="J10" s="15">
        <v>45449</v>
      </c>
      <c r="K10" s="15">
        <v>45456</v>
      </c>
      <c r="L10" s="15">
        <v>45463</v>
      </c>
    </row>
    <row r="11" spans="1:14" x14ac:dyDescent="0.35">
      <c r="A11" s="23" t="s">
        <v>69</v>
      </c>
      <c r="B11" s="23"/>
      <c r="C11" s="23"/>
      <c r="D11" s="23"/>
      <c r="E11" s="23"/>
      <c r="F11" s="23"/>
      <c r="G11" s="23"/>
      <c r="H11" s="23"/>
      <c r="I11" s="14">
        <v>0.16666666666666666</v>
      </c>
      <c r="J11" s="14">
        <v>0.16666666666666699</v>
      </c>
      <c r="K11" s="14">
        <v>0.16666666666666699</v>
      </c>
      <c r="L11" s="14">
        <v>0.16666666666666699</v>
      </c>
    </row>
    <row r="12" spans="1:14" x14ac:dyDescent="0.35">
      <c r="F12">
        <v>825</v>
      </c>
    </row>
    <row r="13" spans="1:14" x14ac:dyDescent="0.35">
      <c r="F13">
        <v>600</v>
      </c>
      <c r="G13">
        <v>400</v>
      </c>
    </row>
    <row r="14" spans="1:14" x14ac:dyDescent="0.35">
      <c r="F14" t="s">
        <v>77</v>
      </c>
      <c r="G14" t="s">
        <v>78</v>
      </c>
    </row>
  </sheetData>
  <mergeCells count="2">
    <mergeCell ref="A10:H10"/>
    <mergeCell ref="A11:H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selection activeCell="L12" sqref="L12"/>
    </sheetView>
  </sheetViews>
  <sheetFormatPr defaultRowHeight="15" x14ac:dyDescent="0.25"/>
  <cols>
    <col min="1" max="1" width="28.85546875" customWidth="1"/>
    <col min="2" max="2" width="23.28515625" customWidth="1"/>
    <col min="7" max="7" width="13.42578125" customWidth="1"/>
  </cols>
  <sheetData>
    <row r="1" spans="1:13" ht="21" x14ac:dyDescent="0.35">
      <c r="A1" s="1" t="s">
        <v>0</v>
      </c>
      <c r="B1" s="1" t="s">
        <v>2</v>
      </c>
      <c r="C1" s="1" t="s">
        <v>3</v>
      </c>
      <c r="D1" s="1" t="s">
        <v>52</v>
      </c>
      <c r="E1" s="1" t="s">
        <v>58</v>
      </c>
      <c r="F1" s="1" t="s">
        <v>4</v>
      </c>
      <c r="G1" s="1" t="s">
        <v>6</v>
      </c>
      <c r="H1" s="1" t="s">
        <v>20</v>
      </c>
      <c r="I1" s="1" t="s">
        <v>8</v>
      </c>
      <c r="J1" s="1" t="s">
        <v>9</v>
      </c>
      <c r="K1" s="1" t="s">
        <v>10</v>
      </c>
    </row>
    <row r="2" spans="1:13" ht="14.45" x14ac:dyDescent="0.35">
      <c r="A2" s="3" t="s">
        <v>53</v>
      </c>
      <c r="B2" s="3">
        <v>1001993242</v>
      </c>
      <c r="C2" s="3"/>
      <c r="D2" s="3">
        <v>950</v>
      </c>
      <c r="E2" s="3">
        <v>500</v>
      </c>
      <c r="F2" s="15"/>
      <c r="G2" s="3" t="s">
        <v>36</v>
      </c>
      <c r="H2" s="3" t="s">
        <v>21</v>
      </c>
      <c r="I2" s="17" t="s">
        <v>21</v>
      </c>
      <c r="J2" s="17" t="s">
        <v>21</v>
      </c>
      <c r="K2" s="3"/>
      <c r="L2">
        <v>500</v>
      </c>
    </row>
    <row r="3" spans="1:13" ht="14.45" x14ac:dyDescent="0.35">
      <c r="A3" s="3" t="s">
        <v>54</v>
      </c>
      <c r="B3" s="3">
        <v>1025194671</v>
      </c>
      <c r="C3" s="3"/>
      <c r="D3" s="3">
        <v>950</v>
      </c>
      <c r="E3" s="3">
        <v>500</v>
      </c>
      <c r="F3" s="3"/>
      <c r="G3" s="3"/>
      <c r="H3" s="3" t="s">
        <v>21</v>
      </c>
      <c r="I3" s="17">
        <v>500</v>
      </c>
      <c r="J3" s="17" t="s">
        <v>21</v>
      </c>
      <c r="K3" s="3"/>
      <c r="L3">
        <v>500</v>
      </c>
    </row>
    <row r="4" spans="1:13" ht="14.45" x14ac:dyDescent="0.35">
      <c r="A4" s="3" t="s">
        <v>79</v>
      </c>
      <c r="B4" s="3">
        <v>1063969146</v>
      </c>
      <c r="C4" s="3"/>
      <c r="D4" s="3">
        <v>950</v>
      </c>
      <c r="E4" s="3">
        <v>450</v>
      </c>
      <c r="F4" s="3"/>
      <c r="G4" s="3"/>
      <c r="H4" s="3" t="s">
        <v>21</v>
      </c>
      <c r="I4" s="17" t="s">
        <v>88</v>
      </c>
      <c r="J4" s="17" t="s">
        <v>21</v>
      </c>
      <c r="K4" s="3"/>
      <c r="L4">
        <v>450</v>
      </c>
    </row>
    <row r="5" spans="1:13" ht="14.45" x14ac:dyDescent="0.35">
      <c r="A5" s="3" t="s">
        <v>55</v>
      </c>
      <c r="B5" s="3">
        <v>1065696638</v>
      </c>
      <c r="C5" s="3"/>
      <c r="D5" s="3">
        <v>950</v>
      </c>
      <c r="E5" s="3">
        <v>500</v>
      </c>
      <c r="F5" s="3"/>
      <c r="G5" s="3"/>
      <c r="H5" s="3" t="s">
        <v>21</v>
      </c>
      <c r="I5" s="17">
        <v>500</v>
      </c>
      <c r="J5" s="17" t="s">
        <v>21</v>
      </c>
      <c r="K5" s="3"/>
      <c r="L5">
        <v>500</v>
      </c>
    </row>
    <row r="6" spans="1:13" ht="14.45" x14ac:dyDescent="0.35">
      <c r="A6" s="3" t="s">
        <v>57</v>
      </c>
      <c r="B6" s="3">
        <v>1091219090</v>
      </c>
      <c r="C6" s="3"/>
      <c r="D6" s="3">
        <v>950</v>
      </c>
      <c r="E6" s="3">
        <v>450</v>
      </c>
      <c r="F6" s="3"/>
      <c r="G6" s="3"/>
      <c r="H6" s="3" t="s">
        <v>21</v>
      </c>
      <c r="I6" s="17">
        <v>450</v>
      </c>
      <c r="J6" s="17" t="s">
        <v>21</v>
      </c>
      <c r="K6" s="3"/>
      <c r="L6">
        <v>450</v>
      </c>
    </row>
    <row r="7" spans="1:13" ht="14.45" x14ac:dyDescent="0.35">
      <c r="A7" s="3" t="s">
        <v>56</v>
      </c>
      <c r="B7" s="3">
        <v>1091219090</v>
      </c>
      <c r="C7" s="3"/>
      <c r="D7" s="3">
        <v>950</v>
      </c>
      <c r="E7" s="3">
        <v>450</v>
      </c>
      <c r="F7" s="3"/>
      <c r="G7" s="3"/>
      <c r="H7" s="3" t="s">
        <v>21</v>
      </c>
      <c r="I7" s="17">
        <v>450</v>
      </c>
      <c r="J7" s="17" t="s">
        <v>21</v>
      </c>
      <c r="K7" s="3"/>
      <c r="L7">
        <v>450</v>
      </c>
    </row>
    <row r="8" spans="1:13" ht="14.45" x14ac:dyDescent="0.35">
      <c r="A8" s="3" t="s">
        <v>75</v>
      </c>
      <c r="B8" s="3">
        <v>1093337324</v>
      </c>
      <c r="C8" s="3"/>
      <c r="D8" s="3">
        <v>950</v>
      </c>
      <c r="E8" s="3">
        <v>500</v>
      </c>
      <c r="F8" s="3"/>
      <c r="G8" s="3"/>
      <c r="H8" s="3" t="s">
        <v>21</v>
      </c>
      <c r="I8" s="17" t="s">
        <v>21</v>
      </c>
      <c r="J8" s="17" t="s">
        <v>21</v>
      </c>
      <c r="K8" s="3"/>
      <c r="L8">
        <v>500</v>
      </c>
    </row>
    <row r="9" spans="1:13" ht="14.45" x14ac:dyDescent="0.35">
      <c r="A9" s="11" t="s">
        <v>76</v>
      </c>
      <c r="B9" s="3">
        <v>1092567321</v>
      </c>
      <c r="C9" s="3"/>
      <c r="D9" s="3">
        <v>950</v>
      </c>
      <c r="E9" s="3">
        <v>500</v>
      </c>
      <c r="F9" s="3"/>
      <c r="G9" s="3"/>
      <c r="H9" s="3" t="s">
        <v>21</v>
      </c>
      <c r="I9" s="17">
        <v>500</v>
      </c>
      <c r="J9" s="17" t="s">
        <v>21</v>
      </c>
      <c r="K9" s="3"/>
      <c r="L9">
        <v>500</v>
      </c>
    </row>
    <row r="10" spans="1:13" ht="14.45" x14ac:dyDescent="0.35">
      <c r="A10" s="11" t="s">
        <v>74</v>
      </c>
      <c r="B10" s="3">
        <v>1092567321</v>
      </c>
      <c r="C10" s="3"/>
      <c r="D10" s="3">
        <v>950</v>
      </c>
      <c r="E10" s="3">
        <v>500</v>
      </c>
      <c r="F10" s="3"/>
      <c r="G10" s="3"/>
      <c r="H10" s="3">
        <v>500</v>
      </c>
      <c r="I10" s="17" t="s">
        <v>21</v>
      </c>
      <c r="J10" s="17" t="s">
        <v>21</v>
      </c>
      <c r="K10" s="3"/>
      <c r="L10">
        <v>500</v>
      </c>
    </row>
    <row r="11" spans="1:13" ht="14.45" x14ac:dyDescent="0.35">
      <c r="A11" s="24" t="s">
        <v>68</v>
      </c>
      <c r="B11" s="25"/>
      <c r="C11" s="25"/>
      <c r="D11" s="25"/>
      <c r="E11" s="25"/>
      <c r="F11" s="25"/>
      <c r="G11" s="26"/>
      <c r="H11" s="15">
        <v>45444</v>
      </c>
      <c r="I11" s="15">
        <v>45451</v>
      </c>
      <c r="J11" s="15">
        <v>45465</v>
      </c>
      <c r="K11" s="15">
        <v>45472</v>
      </c>
      <c r="L11">
        <f>SUM(L2:L10)</f>
        <v>4350</v>
      </c>
      <c r="M11">
        <f>L11*25%</f>
        <v>1087.5</v>
      </c>
    </row>
    <row r="12" spans="1:13" ht="14.45" x14ac:dyDescent="0.35">
      <c r="A12" s="24" t="s">
        <v>69</v>
      </c>
      <c r="B12" s="25"/>
      <c r="C12" s="25"/>
      <c r="D12" s="25"/>
      <c r="E12" s="25"/>
      <c r="F12" s="25"/>
      <c r="G12" s="26"/>
      <c r="H12" s="14">
        <v>4.1666666666666699E-2</v>
      </c>
      <c r="I12" s="14">
        <v>4.1666666666666699E-2</v>
      </c>
      <c r="J12" s="14">
        <v>4.1666666666666699E-2</v>
      </c>
      <c r="K12" s="14">
        <v>4.1666666666666699E-2</v>
      </c>
    </row>
  </sheetData>
  <mergeCells count="2">
    <mergeCell ref="A11:G11"/>
    <mergeCell ref="A12:G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J13" sqref="J13"/>
    </sheetView>
  </sheetViews>
  <sheetFormatPr defaultRowHeight="15" x14ac:dyDescent="0.25"/>
  <cols>
    <col min="1" max="1" width="29.7109375" customWidth="1"/>
    <col min="3" max="3" width="33.5703125" customWidth="1"/>
    <col min="4" max="4" width="9.42578125" customWidth="1"/>
    <col min="6" max="6" width="8.140625" bestFit="1" customWidth="1"/>
    <col min="7" max="7" width="12.7109375" customWidth="1"/>
    <col min="8" max="8" width="9.28515625" bestFit="1" customWidth="1"/>
    <col min="9" max="11" width="9.5703125" bestFit="1" customWidth="1"/>
  </cols>
  <sheetData>
    <row r="1" spans="1:11" ht="18.600000000000001" x14ac:dyDescent="0.45">
      <c r="A1" s="18" t="s">
        <v>0</v>
      </c>
      <c r="B1" s="18" t="s">
        <v>1</v>
      </c>
      <c r="C1" s="18" t="s">
        <v>2</v>
      </c>
      <c r="D1" s="18" t="s">
        <v>52</v>
      </c>
      <c r="E1" s="18" t="s">
        <v>58</v>
      </c>
      <c r="F1" s="18" t="s">
        <v>4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</row>
    <row r="2" spans="1:11" ht="18.600000000000001" x14ac:dyDescent="0.35">
      <c r="A2" s="2" t="s">
        <v>60</v>
      </c>
      <c r="B2" s="2"/>
      <c r="C2" s="2">
        <v>1000511224</v>
      </c>
      <c r="D2" s="2">
        <v>950</v>
      </c>
      <c r="E2" s="2"/>
      <c r="F2" s="13">
        <v>45359</v>
      </c>
      <c r="G2" s="2" t="s">
        <v>30</v>
      </c>
      <c r="H2" s="2" t="s">
        <v>88</v>
      </c>
      <c r="I2" s="12" t="s">
        <v>21</v>
      </c>
      <c r="J2" s="12" t="s">
        <v>21</v>
      </c>
      <c r="K2" s="12" t="s">
        <v>21</v>
      </c>
    </row>
    <row r="3" spans="1:11" ht="18.600000000000001" x14ac:dyDescent="0.35">
      <c r="A3" s="2" t="s">
        <v>61</v>
      </c>
      <c r="B3" s="2"/>
      <c r="C3" s="2">
        <v>1028885995</v>
      </c>
      <c r="D3" s="2">
        <v>950</v>
      </c>
      <c r="E3" s="2">
        <v>500</v>
      </c>
      <c r="F3" s="7"/>
      <c r="G3" s="7"/>
      <c r="H3" s="2" t="s">
        <v>88</v>
      </c>
      <c r="I3" s="12" t="s">
        <v>88</v>
      </c>
      <c r="J3" s="12" t="s">
        <v>21</v>
      </c>
      <c r="K3" s="12" t="s">
        <v>21</v>
      </c>
    </row>
    <row r="4" spans="1:11" ht="18.600000000000001" x14ac:dyDescent="0.35">
      <c r="A4" s="2" t="s">
        <v>62</v>
      </c>
      <c r="B4" s="2"/>
      <c r="C4" s="2">
        <v>1065100555</v>
      </c>
      <c r="D4" s="2">
        <v>950</v>
      </c>
      <c r="E4" s="2">
        <v>450</v>
      </c>
      <c r="F4" s="2"/>
      <c r="G4" s="2"/>
      <c r="H4" s="2" t="s">
        <v>21</v>
      </c>
      <c r="I4" s="12" t="s">
        <v>21</v>
      </c>
      <c r="J4" s="12" t="s">
        <v>21</v>
      </c>
      <c r="K4" s="12" t="s">
        <v>21</v>
      </c>
    </row>
    <row r="5" spans="1:11" ht="18.600000000000001" x14ac:dyDescent="0.35">
      <c r="A5" s="2" t="s">
        <v>63</v>
      </c>
      <c r="B5" s="2"/>
      <c r="C5" s="2">
        <v>1065100555</v>
      </c>
      <c r="D5" s="2">
        <v>950</v>
      </c>
      <c r="E5" s="2">
        <v>450</v>
      </c>
      <c r="F5" s="7"/>
      <c r="G5" s="7"/>
      <c r="H5" s="2" t="s">
        <v>21</v>
      </c>
      <c r="I5" s="12" t="s">
        <v>21</v>
      </c>
      <c r="J5" s="12" t="s">
        <v>21</v>
      </c>
      <c r="K5" s="12" t="s">
        <v>21</v>
      </c>
    </row>
    <row r="6" spans="1:11" ht="18.600000000000001" x14ac:dyDescent="0.35">
      <c r="A6" s="2" t="s">
        <v>64</v>
      </c>
      <c r="B6" s="2"/>
      <c r="C6" s="2">
        <v>1028805520</v>
      </c>
      <c r="D6" s="2">
        <v>950</v>
      </c>
      <c r="E6" s="2">
        <v>500</v>
      </c>
      <c r="F6" s="2"/>
      <c r="G6" s="2"/>
      <c r="H6" s="2" t="s">
        <v>21</v>
      </c>
      <c r="I6" s="12" t="s">
        <v>21</v>
      </c>
      <c r="J6" s="12" t="s">
        <v>21</v>
      </c>
      <c r="K6" s="12" t="s">
        <v>21</v>
      </c>
    </row>
    <row r="7" spans="1:11" ht="18.600000000000001" x14ac:dyDescent="0.35">
      <c r="A7" s="2" t="s">
        <v>73</v>
      </c>
      <c r="B7" s="2"/>
      <c r="C7" s="2">
        <v>1000247181</v>
      </c>
      <c r="D7" s="2">
        <v>950</v>
      </c>
      <c r="E7" s="2">
        <v>450</v>
      </c>
      <c r="F7" s="2"/>
      <c r="G7" s="2"/>
      <c r="H7" s="2" t="s">
        <v>21</v>
      </c>
      <c r="I7" s="12" t="s">
        <v>21</v>
      </c>
      <c r="J7" s="12" t="s">
        <v>21</v>
      </c>
      <c r="K7" s="12" t="s">
        <v>21</v>
      </c>
    </row>
    <row r="8" spans="1:11" ht="18.600000000000001" x14ac:dyDescent="0.45">
      <c r="A8" s="2" t="s">
        <v>65</v>
      </c>
      <c r="B8" s="3"/>
      <c r="C8" s="16">
        <v>1015205270</v>
      </c>
      <c r="D8" s="2">
        <v>950</v>
      </c>
      <c r="E8" s="2">
        <v>450</v>
      </c>
      <c r="F8" s="3"/>
      <c r="G8" s="3"/>
      <c r="H8" s="2" t="s">
        <v>21</v>
      </c>
      <c r="I8" s="12" t="s">
        <v>21</v>
      </c>
      <c r="J8" s="12" t="s">
        <v>21</v>
      </c>
      <c r="K8" s="12" t="s">
        <v>88</v>
      </c>
    </row>
    <row r="9" spans="1:11" ht="18.600000000000001" x14ac:dyDescent="0.45">
      <c r="A9" s="2" t="s">
        <v>67</v>
      </c>
      <c r="B9" s="3"/>
      <c r="C9" s="16">
        <v>1033324251</v>
      </c>
      <c r="D9" s="2">
        <v>950</v>
      </c>
      <c r="E9" s="2">
        <v>500</v>
      </c>
      <c r="F9" s="3"/>
      <c r="G9" s="3"/>
      <c r="H9" s="2" t="s">
        <v>21</v>
      </c>
      <c r="I9" s="12" t="s">
        <v>21</v>
      </c>
      <c r="J9" s="12" t="s">
        <v>21</v>
      </c>
      <c r="K9" s="12" t="s">
        <v>21</v>
      </c>
    </row>
    <row r="10" spans="1:11" ht="14.45" x14ac:dyDescent="0.35">
      <c r="A10" s="24"/>
      <c r="B10" s="25"/>
      <c r="C10" s="25"/>
      <c r="D10" s="25"/>
      <c r="E10" s="25"/>
      <c r="F10" s="25"/>
      <c r="G10" s="26"/>
      <c r="H10" s="15">
        <v>45450</v>
      </c>
      <c r="I10" s="15">
        <v>45457</v>
      </c>
      <c r="J10" s="15">
        <v>45464</v>
      </c>
      <c r="K10" s="15">
        <v>45471</v>
      </c>
    </row>
    <row r="11" spans="1:11" ht="14.45" x14ac:dyDescent="0.35">
      <c r="A11" s="30"/>
      <c r="B11" s="31"/>
      <c r="C11" s="31"/>
      <c r="D11" s="31"/>
      <c r="E11" s="31"/>
      <c r="F11" s="31"/>
      <c r="G11" s="32"/>
      <c r="H11" s="14">
        <v>0.20833333333333334</v>
      </c>
      <c r="I11" s="14">
        <v>0.20833333333333334</v>
      </c>
      <c r="J11" s="14">
        <v>0.20833333333333301</v>
      </c>
      <c r="K11" s="14">
        <v>0.20833333333333301</v>
      </c>
    </row>
    <row r="13" spans="1:11" ht="14.45" x14ac:dyDescent="0.35">
      <c r="D13">
        <v>940</v>
      </c>
    </row>
  </sheetData>
  <mergeCells count="2">
    <mergeCell ref="A10:G10"/>
    <mergeCell ref="A11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sat 11-2</vt:lpstr>
      <vt:lpstr>fr 11-2</vt:lpstr>
      <vt:lpstr>wed 3-5</vt:lpstr>
      <vt:lpstr>mon 3.5-6.5</vt:lpstr>
      <vt:lpstr>fr 2-5</vt:lpstr>
      <vt:lpstr>th 4-7</vt:lpstr>
      <vt:lpstr>sat 1-4</vt:lpstr>
      <vt:lpstr>fr 5-8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2024-04-30T18:57:41Z</dcterms:modified>
</cp:coreProperties>
</file>